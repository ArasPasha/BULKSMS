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FME 5\Desktop\Marketing\.claude\worktrees\dazzling-tesla-fdb4e2\Desktop\Marketing\"/>
    </mc:Choice>
  </mc:AlternateContent>
  <xr:revisionPtr revIDLastSave="0" documentId="8_{585C140B-3B91-4A96-B1A6-82CDA393B1FE}" xr6:coauthVersionLast="47" xr6:coauthVersionMax="47" xr10:uidLastSave="{00000000-0000-0000-0000-000000000000}"/>
  <bookViews>
    <workbookView xWindow="1785" yWindow="3510" windowWidth="23325" windowHeight="11295" xr2:uid="{00000000-000D-0000-FFFF-FFFF00000000}"/>
  </bookViews>
  <sheets>
    <sheet name="Schedule" sheetId="1" r:id="rId1"/>
    <sheet name="Shift Codes" sheetId="2" r:id="rId2"/>
    <sheet name="Employe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1" l="1"/>
  <c r="H14" i="1"/>
  <c r="G14" i="1"/>
  <c r="F14" i="1"/>
  <c r="E14" i="1"/>
  <c r="D14" i="1"/>
  <c r="C14" i="1"/>
  <c r="J13" i="1"/>
  <c r="J12" i="1"/>
  <c r="J11" i="1"/>
  <c r="J10" i="1"/>
  <c r="J9" i="1"/>
  <c r="J8" i="1"/>
  <c r="J7" i="1"/>
  <c r="J6" i="1"/>
  <c r="J14" i="1" l="1"/>
</calcChain>
</file>

<file path=xl/sharedStrings.xml><?xml version="1.0" encoding="utf-8"?>
<sst xmlns="http://schemas.openxmlformats.org/spreadsheetml/2006/main" count="165" uniqueCount="88">
  <si>
    <t>Weekly Employee Schedule</t>
  </si>
  <si>
    <t>Week of May 11, 2026</t>
  </si>
  <si>
    <t>Employee</t>
  </si>
  <si>
    <t>Role</t>
  </si>
  <si>
    <t>Mon</t>
  </si>
  <si>
    <t>Tue</t>
  </si>
  <si>
    <t>Wed</t>
  </si>
  <si>
    <t>Thu</t>
  </si>
  <si>
    <t>Fri</t>
  </si>
  <si>
    <t>Sat</t>
  </si>
  <si>
    <t>Sun</t>
  </si>
  <si>
    <t>Total Hrs</t>
  </si>
  <si>
    <t>05/11</t>
  </si>
  <si>
    <t>05/12</t>
  </si>
  <si>
    <t>05/13</t>
  </si>
  <si>
    <t>05/14</t>
  </si>
  <si>
    <t>05/15</t>
  </si>
  <si>
    <t>05/16</t>
  </si>
  <si>
    <t>05/17</t>
  </si>
  <si>
    <t>Alex Johnson</t>
  </si>
  <si>
    <t>Manager</t>
  </si>
  <si>
    <t>M</t>
  </si>
  <si>
    <t>OFF</t>
  </si>
  <si>
    <t>C</t>
  </si>
  <si>
    <t>Sam Patel</t>
  </si>
  <si>
    <t>Server</t>
  </si>
  <si>
    <t>E</t>
  </si>
  <si>
    <t>Jordan Lee</t>
  </si>
  <si>
    <t>Casey Rivera</t>
  </si>
  <si>
    <t>Bartender</t>
  </si>
  <si>
    <t>Taylor Kim</t>
  </si>
  <si>
    <t>Host</t>
  </si>
  <si>
    <t>Morgan Davis</t>
  </si>
  <si>
    <t>Cook</t>
  </si>
  <si>
    <t>Riley Chen</t>
  </si>
  <si>
    <t>Drew Martinez</t>
  </si>
  <si>
    <t>Dishwasher</t>
  </si>
  <si>
    <t>Daily Hours</t>
  </si>
  <si>
    <t>Shift Codes &amp; Hours</t>
  </si>
  <si>
    <t>Edit the Hours column to recalculate totals on the Schedule sheet.</t>
  </si>
  <si>
    <t>Code</t>
  </si>
  <si>
    <t>Description</t>
  </si>
  <si>
    <t>Start</t>
  </si>
  <si>
    <t>End</t>
  </si>
  <si>
    <t>Hours</t>
  </si>
  <si>
    <t>Morning</t>
  </si>
  <si>
    <t>8:00 AM</t>
  </si>
  <si>
    <t>4:00 PM</t>
  </si>
  <si>
    <t>Evening</t>
  </si>
  <si>
    <t>12:00 PM</t>
  </si>
  <si>
    <t>8:00 PM</t>
  </si>
  <si>
    <t>Closing</t>
  </si>
  <si>
    <t>12:00 AM</t>
  </si>
  <si>
    <t>Day off</t>
  </si>
  <si>
    <t>—</t>
  </si>
  <si>
    <t>Employee Roster</t>
  </si>
  <si>
    <t>Name</t>
  </si>
  <si>
    <t>Phone</t>
  </si>
  <si>
    <t>Email</t>
  </si>
  <si>
    <t>Max Hrs/Wk</t>
  </si>
  <si>
    <t>Hire Date</t>
  </si>
  <si>
    <t>Notes</t>
  </si>
  <si>
    <t>(555) 010-1001</t>
  </si>
  <si>
    <t>alex@example.com</t>
  </si>
  <si>
    <t>2023-04-12</t>
  </si>
  <si>
    <t>(555) 010-1002</t>
  </si>
  <si>
    <t>sam@example.com</t>
  </si>
  <si>
    <t>2024-01-08</t>
  </si>
  <si>
    <t>(555) 010-1003</t>
  </si>
  <si>
    <t>jordan@example.com</t>
  </si>
  <si>
    <t>2024-06-15</t>
  </si>
  <si>
    <t>Weekends only after 6pm</t>
  </si>
  <si>
    <t>(555) 010-1004</t>
  </si>
  <si>
    <t>casey@example.com</t>
  </si>
  <si>
    <t>2023-09-02</t>
  </si>
  <si>
    <t>(555) 010-1005</t>
  </si>
  <si>
    <t>taylor@example.com</t>
  </si>
  <si>
    <t>2025-02-20</t>
  </si>
  <si>
    <t>Student — no Mon mornings</t>
  </si>
  <si>
    <t>(555) 010-1006</t>
  </si>
  <si>
    <t>morgan@example.com</t>
  </si>
  <si>
    <t>2022-11-30</t>
  </si>
  <si>
    <t>(555) 010-1007</t>
  </si>
  <si>
    <t>riley@example.com</t>
  </si>
  <si>
    <t>2024-03-11</t>
  </si>
  <si>
    <t>(555) 010-1008</t>
  </si>
  <si>
    <t>drew@example.com</t>
  </si>
  <si>
    <t>2025-05-01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</si>
</sst>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6"/>
      <color rgb="FF1F3864"/>
      <name val="Arial"/>
    </font>
    <font>
      <i/>
      <sz val="11"/>
      <color rgb="FF595959"/>
      <name val="Arial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i/>
      <sz val="10"/>
      <color rgb="FFA6A6A6"/>
      <name val="Arial"/>
    </font>
    <font>
      <b/>
      <sz val="11"/>
      <name val="Arial"/>
    </font>
    <font>
      <i/>
      <sz val="10"/>
      <color rgb="FF595959"/>
      <name val="Arial"/>
    </font>
  </fonts>
  <fills count="6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indent="1"/>
    </xf>
    <xf numFmtId="0" fontId="0" fillId="5" borderId="1" xfId="0" applyFill="1" applyBorder="1"/>
    <xf numFmtId="164" fontId="7" fillId="5" borderId="1" xfId="0" applyNumberFormat="1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indent="1"/>
    </xf>
    <xf numFmtId="0" fontId="1" fillId="0" borderId="0" xfId="0" applyFont="1"/>
    <xf numFmtId="0" fontId="0" fillId="0" borderId="0" xfId="0"/>
    <xf numFmtId="0" fontId="2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pane xSplit="2" ySplit="5" topLeftCell="C6" activePane="bottomRight" state="frozen"/>
      <selection pane="topRight"/>
      <selection pane="bottomLeft"/>
      <selection pane="bottomRight" sqref="A1:J1"/>
    </sheetView>
  </sheetViews>
  <sheetFormatPr defaultRowHeight="15" x14ac:dyDescent="0.25"/>
  <cols>
    <col min="1" max="1" width="20" customWidth="1"/>
    <col min="2" max="2" width="14" customWidth="1"/>
    <col min="3" max="9" width="9" customWidth="1"/>
    <col min="10" max="10" width="11" customWidth="1"/>
  </cols>
  <sheetData>
    <row r="1" spans="1:10" ht="24" customHeigh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x14ac:dyDescent="0.25">
      <c r="A2" s="14" t="s">
        <v>1</v>
      </c>
      <c r="B2" s="13"/>
      <c r="C2" s="13"/>
      <c r="D2" s="13"/>
      <c r="E2" s="13"/>
      <c r="F2" s="13"/>
      <c r="G2" s="13"/>
      <c r="H2" s="13"/>
      <c r="I2" s="13"/>
      <c r="J2" s="13"/>
    </row>
    <row r="4" spans="1:10" ht="21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8" customHeight="1" x14ac:dyDescent="0.25">
      <c r="A5" s="2"/>
      <c r="B5" s="2"/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2" t="s">
        <v>17</v>
      </c>
      <c r="I5" s="2" t="s">
        <v>18</v>
      </c>
      <c r="J5" s="2"/>
    </row>
    <row r="6" spans="1:10" ht="21.95" customHeight="1" x14ac:dyDescent="0.25">
      <c r="A6" s="3" t="s">
        <v>19</v>
      </c>
      <c r="B6" s="4" t="s">
        <v>20</v>
      </c>
      <c r="C6" s="4" t="s">
        <v>21</v>
      </c>
      <c r="D6" s="4" t="s">
        <v>21</v>
      </c>
      <c r="E6" s="5" t="s">
        <v>22</v>
      </c>
      <c r="F6" s="4" t="s">
        <v>21</v>
      </c>
      <c r="G6" s="4" t="s">
        <v>21</v>
      </c>
      <c r="H6" s="4" t="s">
        <v>23</v>
      </c>
      <c r="I6" s="5" t="s">
        <v>22</v>
      </c>
      <c r="J6" s="6">
        <f>SUMPRODUCT(COUNTIF(C6:I6,'Shift Codes'!$A$4:$A$7)*'Shift Codes'!$E$4:$E$7)</f>
        <v>40</v>
      </c>
    </row>
    <row r="7" spans="1:10" ht="21.95" customHeight="1" x14ac:dyDescent="0.25">
      <c r="A7" s="3" t="s">
        <v>24</v>
      </c>
      <c r="B7" s="4" t="s">
        <v>25</v>
      </c>
      <c r="C7" s="4" t="s">
        <v>26</v>
      </c>
      <c r="D7" s="4" t="s">
        <v>26</v>
      </c>
      <c r="E7" s="4" t="s">
        <v>21</v>
      </c>
      <c r="F7" s="5" t="s">
        <v>22</v>
      </c>
      <c r="G7" s="4" t="s">
        <v>26</v>
      </c>
      <c r="H7" s="4" t="s">
        <v>26</v>
      </c>
      <c r="I7" s="4" t="s">
        <v>21</v>
      </c>
      <c r="J7" s="6">
        <f>SUMPRODUCT(COUNTIF(C7:I7,'Shift Codes'!$A$4:$A$7)*'Shift Codes'!$E$4:$E$7)</f>
        <v>48</v>
      </c>
    </row>
    <row r="8" spans="1:10" ht="21.95" customHeight="1" x14ac:dyDescent="0.25">
      <c r="A8" s="3" t="s">
        <v>27</v>
      </c>
      <c r="B8" s="4" t="s">
        <v>25</v>
      </c>
      <c r="C8" s="5" t="s">
        <v>22</v>
      </c>
      <c r="D8" s="4" t="s">
        <v>21</v>
      </c>
      <c r="E8" s="4" t="s">
        <v>26</v>
      </c>
      <c r="F8" s="4" t="s">
        <v>26</v>
      </c>
      <c r="G8" s="4" t="s">
        <v>21</v>
      </c>
      <c r="H8" s="4" t="s">
        <v>21</v>
      </c>
      <c r="I8" s="4" t="s">
        <v>23</v>
      </c>
      <c r="J8" s="6">
        <f>SUMPRODUCT(COUNTIF(C8:I8,'Shift Codes'!$A$4:$A$7)*'Shift Codes'!$E$4:$E$7)</f>
        <v>48</v>
      </c>
    </row>
    <row r="9" spans="1:10" ht="21.95" customHeight="1" x14ac:dyDescent="0.25">
      <c r="A9" s="3" t="s">
        <v>28</v>
      </c>
      <c r="B9" s="4" t="s">
        <v>29</v>
      </c>
      <c r="C9" s="4" t="s">
        <v>23</v>
      </c>
      <c r="D9" s="5" t="s">
        <v>22</v>
      </c>
      <c r="E9" s="4" t="s">
        <v>23</v>
      </c>
      <c r="F9" s="4" t="s">
        <v>23</v>
      </c>
      <c r="G9" s="5" t="s">
        <v>22</v>
      </c>
      <c r="H9" s="4" t="s">
        <v>26</v>
      </c>
      <c r="I9" s="4" t="s">
        <v>26</v>
      </c>
      <c r="J9" s="6">
        <f>SUMPRODUCT(COUNTIF(C9:I9,'Shift Codes'!$A$4:$A$7)*'Shift Codes'!$E$4:$E$7)</f>
        <v>40</v>
      </c>
    </row>
    <row r="10" spans="1:10" ht="21.95" customHeight="1" x14ac:dyDescent="0.25">
      <c r="A10" s="3" t="s">
        <v>30</v>
      </c>
      <c r="B10" s="4" t="s">
        <v>31</v>
      </c>
      <c r="C10" s="4" t="s">
        <v>21</v>
      </c>
      <c r="D10" s="4" t="s">
        <v>21</v>
      </c>
      <c r="E10" s="4" t="s">
        <v>21</v>
      </c>
      <c r="F10" s="5" t="s">
        <v>22</v>
      </c>
      <c r="G10" s="5" t="s">
        <v>22</v>
      </c>
      <c r="H10" s="4" t="s">
        <v>21</v>
      </c>
      <c r="I10" s="4" t="s">
        <v>21</v>
      </c>
      <c r="J10" s="6">
        <f>SUMPRODUCT(COUNTIF(C10:I10,'Shift Codes'!$A$4:$A$7)*'Shift Codes'!$E$4:$E$7)</f>
        <v>40</v>
      </c>
    </row>
    <row r="11" spans="1:10" ht="21.95" customHeight="1" x14ac:dyDescent="0.25">
      <c r="A11" s="3" t="s">
        <v>32</v>
      </c>
      <c r="B11" s="4" t="s">
        <v>33</v>
      </c>
      <c r="C11" s="4" t="s">
        <v>26</v>
      </c>
      <c r="D11" s="4" t="s">
        <v>23</v>
      </c>
      <c r="E11" s="5" t="s">
        <v>22</v>
      </c>
      <c r="F11" s="4" t="s">
        <v>26</v>
      </c>
      <c r="G11" s="4" t="s">
        <v>23</v>
      </c>
      <c r="H11" s="5" t="s">
        <v>22</v>
      </c>
      <c r="I11" s="4" t="s">
        <v>26</v>
      </c>
      <c r="J11" s="6">
        <f>SUMPRODUCT(COUNTIF(C11:I11,'Shift Codes'!$A$4:$A$7)*'Shift Codes'!$E$4:$E$7)</f>
        <v>40</v>
      </c>
    </row>
    <row r="12" spans="1:10" ht="21.95" customHeight="1" x14ac:dyDescent="0.25">
      <c r="A12" s="3" t="s">
        <v>34</v>
      </c>
      <c r="B12" s="4" t="s">
        <v>33</v>
      </c>
      <c r="C12" s="5" t="s">
        <v>22</v>
      </c>
      <c r="D12" s="4" t="s">
        <v>26</v>
      </c>
      <c r="E12" s="4" t="s">
        <v>26</v>
      </c>
      <c r="F12" s="4" t="s">
        <v>21</v>
      </c>
      <c r="G12" s="4" t="s">
        <v>26</v>
      </c>
      <c r="H12" s="4" t="s">
        <v>23</v>
      </c>
      <c r="I12" s="5" t="s">
        <v>22</v>
      </c>
      <c r="J12" s="6">
        <f>SUMPRODUCT(COUNTIF(C12:I12,'Shift Codes'!$A$4:$A$7)*'Shift Codes'!$E$4:$E$7)</f>
        <v>40</v>
      </c>
    </row>
    <row r="13" spans="1:10" ht="21.95" customHeight="1" x14ac:dyDescent="0.25">
      <c r="A13" s="3" t="s">
        <v>35</v>
      </c>
      <c r="B13" s="4" t="s">
        <v>36</v>
      </c>
      <c r="C13" s="4" t="s">
        <v>23</v>
      </c>
      <c r="D13" s="5" t="s">
        <v>22</v>
      </c>
      <c r="E13" s="4" t="s">
        <v>21</v>
      </c>
      <c r="F13" s="4" t="s">
        <v>23</v>
      </c>
      <c r="G13" s="4" t="s">
        <v>21</v>
      </c>
      <c r="H13" s="5" t="s">
        <v>22</v>
      </c>
      <c r="I13" s="4" t="s">
        <v>23</v>
      </c>
      <c r="J13" s="6">
        <f>SUMPRODUCT(COUNTIF(C13:I13,'Shift Codes'!$A$4:$A$7)*'Shift Codes'!$E$4:$E$7)</f>
        <v>40</v>
      </c>
    </row>
    <row r="14" spans="1:10" ht="21.95" customHeight="1" x14ac:dyDescent="0.25">
      <c r="A14" s="7" t="s">
        <v>37</v>
      </c>
      <c r="B14" s="8"/>
      <c r="C14" s="6">
        <f>SUMPRODUCT(COUNTIF(C6:C13,'Shift Codes'!$A$4:$A$7)*'Shift Codes'!$E$4:$E$7)</f>
        <v>48</v>
      </c>
      <c r="D14" s="6">
        <f>SUMPRODUCT(COUNTIF(D6:D13,'Shift Codes'!$A$4:$A$7)*'Shift Codes'!$E$4:$E$7)</f>
        <v>48</v>
      </c>
      <c r="E14" s="6">
        <f>SUMPRODUCT(COUNTIF(E6:E13,'Shift Codes'!$A$4:$A$7)*'Shift Codes'!$E$4:$E$7)</f>
        <v>48</v>
      </c>
      <c r="F14" s="6">
        <f>SUMPRODUCT(COUNTIF(F6:F13,'Shift Codes'!$A$4:$A$7)*'Shift Codes'!$E$4:$E$7)</f>
        <v>48</v>
      </c>
      <c r="G14" s="6">
        <f>SUMPRODUCT(COUNTIF(G6:G13,'Shift Codes'!$A$4:$A$7)*'Shift Codes'!$E$4:$E$7)</f>
        <v>48</v>
      </c>
      <c r="H14" s="6">
        <f>SUMPRODUCT(COUNTIF(H6:H13,'Shift Codes'!$A$4:$A$7)*'Shift Codes'!$E$4:$E$7)</f>
        <v>48</v>
      </c>
      <c r="I14" s="6">
        <f>SUMPRODUCT(COUNTIF(I6:I13,'Shift Codes'!$A$4:$A$7)*'Shift Codes'!$E$4:$E$7)</f>
        <v>48</v>
      </c>
      <c r="J14" s="9">
        <f>SUM(J6:J13)</f>
        <v>336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defaultRowHeight="15" x14ac:dyDescent="0.25"/>
  <cols>
    <col min="1" max="1" width="10" customWidth="1"/>
    <col min="2" max="2" width="16" customWidth="1"/>
    <col min="3" max="4" width="12" customWidth="1"/>
    <col min="5" max="5" width="10" customWidth="1"/>
  </cols>
  <sheetData>
    <row r="1" spans="1:5" ht="24" customHeight="1" x14ac:dyDescent="0.3">
      <c r="A1" s="12" t="s">
        <v>38</v>
      </c>
      <c r="B1" s="13"/>
      <c r="C1" s="13"/>
      <c r="D1" s="13"/>
      <c r="E1" s="13"/>
    </row>
    <row r="2" spans="1:5" x14ac:dyDescent="0.25">
      <c r="A2" s="15" t="s">
        <v>39</v>
      </c>
      <c r="B2" s="13"/>
      <c r="C2" s="13"/>
      <c r="D2" s="13"/>
      <c r="E2" s="13"/>
    </row>
    <row r="3" spans="1:5" ht="21.95" customHeight="1" x14ac:dyDescent="0.25">
      <c r="A3" s="1" t="s">
        <v>40</v>
      </c>
      <c r="B3" s="1" t="s">
        <v>41</v>
      </c>
      <c r="C3" s="1" t="s">
        <v>42</v>
      </c>
      <c r="D3" s="1" t="s">
        <v>43</v>
      </c>
      <c r="E3" s="1" t="s">
        <v>44</v>
      </c>
    </row>
    <row r="4" spans="1:5" ht="20.100000000000001" customHeight="1" x14ac:dyDescent="0.25">
      <c r="A4" s="4" t="s">
        <v>21</v>
      </c>
      <c r="B4" s="4" t="s">
        <v>45</v>
      </c>
      <c r="C4" s="4" t="s">
        <v>46</v>
      </c>
      <c r="D4" s="4" t="s">
        <v>47</v>
      </c>
      <c r="E4" s="10">
        <v>8</v>
      </c>
    </row>
    <row r="5" spans="1:5" ht="20.100000000000001" customHeight="1" x14ac:dyDescent="0.25">
      <c r="A5" s="4" t="s">
        <v>26</v>
      </c>
      <c r="B5" s="4" t="s">
        <v>48</v>
      </c>
      <c r="C5" s="4" t="s">
        <v>49</v>
      </c>
      <c r="D5" s="4" t="s">
        <v>50</v>
      </c>
      <c r="E5" s="10">
        <v>8</v>
      </c>
    </row>
    <row r="6" spans="1:5" ht="20.100000000000001" customHeight="1" x14ac:dyDescent="0.25">
      <c r="A6" s="4" t="s">
        <v>23</v>
      </c>
      <c r="B6" s="4" t="s">
        <v>51</v>
      </c>
      <c r="C6" s="4" t="s">
        <v>47</v>
      </c>
      <c r="D6" s="4" t="s">
        <v>52</v>
      </c>
      <c r="E6" s="10">
        <v>8</v>
      </c>
    </row>
    <row r="7" spans="1:5" ht="20.100000000000001" customHeight="1" x14ac:dyDescent="0.25">
      <c r="A7" s="4" t="s">
        <v>22</v>
      </c>
      <c r="B7" s="4" t="s">
        <v>53</v>
      </c>
      <c r="C7" s="4" t="s">
        <v>54</v>
      </c>
      <c r="D7" s="4" t="s">
        <v>54</v>
      </c>
      <c r="E7" s="10">
        <v>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0" customWidth="1"/>
    <col min="2" max="2" width="14" customWidth="1"/>
    <col min="3" max="3" width="16" customWidth="1"/>
    <col min="4" max="4" width="24" customWidth="1"/>
    <col min="5" max="6" width="12" customWidth="1"/>
    <col min="7" max="7" width="30" customWidth="1"/>
  </cols>
  <sheetData>
    <row r="1" spans="1:7" ht="24" customHeight="1" x14ac:dyDescent="0.3">
      <c r="A1" s="12" t="s">
        <v>55</v>
      </c>
      <c r="B1" s="13"/>
      <c r="C1" s="13"/>
      <c r="D1" s="13"/>
      <c r="E1" s="13"/>
      <c r="F1" s="13"/>
      <c r="G1" s="13"/>
    </row>
    <row r="3" spans="1:7" ht="21.95" customHeight="1" x14ac:dyDescent="0.25">
      <c r="A3" s="1" t="s">
        <v>56</v>
      </c>
      <c r="B3" s="1" t="s">
        <v>3</v>
      </c>
      <c r="C3" s="1" t="s">
        <v>57</v>
      </c>
      <c r="D3" s="1" t="s">
        <v>58</v>
      </c>
      <c r="E3" s="1" t="s">
        <v>59</v>
      </c>
      <c r="F3" s="1" t="s">
        <v>60</v>
      </c>
      <c r="G3" s="1" t="s">
        <v>61</v>
      </c>
    </row>
    <row r="4" spans="1:7" ht="20.100000000000001" customHeight="1" x14ac:dyDescent="0.25">
      <c r="A4" s="11" t="s">
        <v>19</v>
      </c>
      <c r="B4" s="4" t="s">
        <v>20</v>
      </c>
      <c r="C4" s="4" t="s">
        <v>62</v>
      </c>
      <c r="D4" s="11" t="s">
        <v>63</v>
      </c>
      <c r="E4" s="4">
        <v>40</v>
      </c>
      <c r="F4" s="4" t="s">
        <v>64</v>
      </c>
      <c r="G4" s="11"/>
    </row>
    <row r="5" spans="1:7" ht="20.100000000000001" customHeight="1" x14ac:dyDescent="0.25">
      <c r="A5" s="11" t="s">
        <v>24</v>
      </c>
      <c r="B5" s="4" t="s">
        <v>25</v>
      </c>
      <c r="C5" s="4" t="s">
        <v>65</v>
      </c>
      <c r="D5" s="11" t="s">
        <v>66</v>
      </c>
      <c r="E5" s="4">
        <v>32</v>
      </c>
      <c r="F5" s="4" t="s">
        <v>67</v>
      </c>
      <c r="G5" s="11"/>
    </row>
    <row r="6" spans="1:7" ht="20.100000000000001" customHeight="1" x14ac:dyDescent="0.25">
      <c r="A6" s="11" t="s">
        <v>27</v>
      </c>
      <c r="B6" s="4" t="s">
        <v>25</v>
      </c>
      <c r="C6" s="4" t="s">
        <v>68</v>
      </c>
      <c r="D6" s="11" t="s">
        <v>69</v>
      </c>
      <c r="E6" s="4">
        <v>32</v>
      </c>
      <c r="F6" s="4" t="s">
        <v>70</v>
      </c>
      <c r="G6" s="11" t="s">
        <v>71</v>
      </c>
    </row>
    <row r="7" spans="1:7" ht="20.100000000000001" customHeight="1" x14ac:dyDescent="0.25">
      <c r="A7" s="11" t="s">
        <v>28</v>
      </c>
      <c r="B7" s="4" t="s">
        <v>29</v>
      </c>
      <c r="C7" s="4" t="s">
        <v>72</v>
      </c>
      <c r="D7" s="11" t="s">
        <v>73</v>
      </c>
      <c r="E7" s="4">
        <v>35</v>
      </c>
      <c r="F7" s="4" t="s">
        <v>74</v>
      </c>
      <c r="G7" s="11"/>
    </row>
    <row r="8" spans="1:7" ht="20.100000000000001" customHeight="1" x14ac:dyDescent="0.25">
      <c r="A8" s="11" t="s">
        <v>30</v>
      </c>
      <c r="B8" s="4" t="s">
        <v>31</v>
      </c>
      <c r="C8" s="4" t="s">
        <v>75</v>
      </c>
      <c r="D8" s="11" t="s">
        <v>76</v>
      </c>
      <c r="E8" s="4">
        <v>25</v>
      </c>
      <c r="F8" s="4" t="s">
        <v>77</v>
      </c>
      <c r="G8" s="11" t="s">
        <v>78</v>
      </c>
    </row>
    <row r="9" spans="1:7" ht="20.100000000000001" customHeight="1" x14ac:dyDescent="0.25">
      <c r="A9" s="11" t="s">
        <v>32</v>
      </c>
      <c r="B9" s="4" t="s">
        <v>33</v>
      </c>
      <c r="C9" s="4" t="s">
        <v>79</v>
      </c>
      <c r="D9" s="11" t="s">
        <v>80</v>
      </c>
      <c r="E9" s="4">
        <v>40</v>
      </c>
      <c r="F9" s="4" t="s">
        <v>81</v>
      </c>
      <c r="G9" s="11"/>
    </row>
    <row r="10" spans="1:7" ht="20.100000000000001" customHeight="1" x14ac:dyDescent="0.25">
      <c r="A10" s="11" t="s">
        <v>34</v>
      </c>
      <c r="B10" s="4" t="s">
        <v>33</v>
      </c>
      <c r="C10" s="4" t="s">
        <v>82</v>
      </c>
      <c r="D10" s="11" t="s">
        <v>83</v>
      </c>
      <c r="E10" s="4">
        <v>40</v>
      </c>
      <c r="F10" s="4" t="s">
        <v>84</v>
      </c>
      <c r="G10" s="11"/>
    </row>
    <row r="11" spans="1:7" ht="20.100000000000001" customHeight="1" x14ac:dyDescent="0.25">
      <c r="A11" s="11" t="s">
        <v>35</v>
      </c>
      <c r="B11" s="4" t="s">
        <v>36</v>
      </c>
      <c r="C11" s="4" t="s">
        <v>85</v>
      </c>
      <c r="D11" s="11" t="s">
        <v>86</v>
      </c>
      <c r="E11" s="4">
        <v>30</v>
      </c>
      <c r="F11" s="4" t="s">
        <v>87</v>
      </c>
      <c r="G11" s="11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Schedule</vt:lpstr>
      <vt:lpstr>Shift Codes</vt:lpstr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FME 5</cp:lastModifiedBy>
  <dcterms:created xsi:type="dcterms:W3CDTF">2026-05-11T17:10:09Z</dcterms:created>
  <dcterms:modified xsi:type="dcterms:W3CDTF">2026-05-11T17:13:19Z</dcterms:modified>
</cp:coreProperties>
</file>